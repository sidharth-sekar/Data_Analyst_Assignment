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ticket" sheetId="1" r:id="rId5"/>
    <sheet state="visible" name="feedbacks" sheetId="2" r:id="rId6"/>
  </sheets>
  <definedNames/>
  <calcPr/>
</workbook>
</file>

<file path=xl/sharedStrings.xml><?xml version="1.0" encoding="utf-8"?>
<sst xmlns="http://schemas.openxmlformats.org/spreadsheetml/2006/main" count="28" uniqueCount="20">
  <si>
    <t>A</t>
  </si>
  <si>
    <t>B</t>
  </si>
  <si>
    <t>C</t>
  </si>
  <si>
    <t>D</t>
  </si>
  <si>
    <t>E</t>
  </si>
  <si>
    <t>ticket_id</t>
  </si>
  <si>
    <t>created_at</t>
  </si>
  <si>
    <t>closed_at</t>
  </si>
  <si>
    <t>outlet_id</t>
  </si>
  <si>
    <t>cms_id</t>
  </si>
  <si>
    <t>Same Day</t>
  </si>
  <si>
    <t>Same Hour</t>
  </si>
  <si>
    <t>t1</t>
  </si>
  <si>
    <t>outlet_1</t>
  </si>
  <si>
    <t>cms_101</t>
  </si>
  <si>
    <t>t2</t>
  </si>
  <si>
    <t>cms_102</t>
  </si>
  <si>
    <t>feedback_at</t>
  </si>
  <si>
    <t>feedback_rating</t>
  </si>
  <si>
    <t>ticket_created_at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</si>
</sst>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yyyy-mm-dd h:mm"/>
    <numFmt numFmtId="165" formatCode="yyyy-mm-dd h:mm:ss"/>
  </numFmts>
  <fonts count="3">
    <font>
      <sz val="10.0"/>
      <color rgb="FF000000"/>
      <name val="Arial"/>
      <scheme val="minor"/>
    </font>
    <font>
      <b/>
      <color theme="1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6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/>
    </xf>
    <xf borderId="0" fillId="0" fontId="2" numFmtId="0" xfId="0" applyAlignment="1" applyFont="1">
      <alignment readingOrder="0"/>
    </xf>
    <xf borderId="0" fillId="0" fontId="2" numFmtId="164" xfId="0" applyAlignment="1" applyFont="1" applyNumberFormat="1">
      <alignment readingOrder="0"/>
    </xf>
    <xf borderId="0" fillId="0" fontId="2" numFmtId="0" xfId="0" applyFont="1"/>
    <xf borderId="0" fillId="0" fontId="2" numFmtId="165" xfId="0" applyAlignment="1" applyFont="1" applyNumberForma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>
      <c r="A2" s="2" t="s">
        <v>5</v>
      </c>
      <c r="B2" s="2" t="s">
        <v>6</v>
      </c>
      <c r="C2" s="2" t="s">
        <v>7</v>
      </c>
      <c r="D2" s="2" t="s">
        <v>8</v>
      </c>
      <c r="E2" s="2" t="s">
        <v>9</v>
      </c>
      <c r="F2" s="2" t="s">
        <v>10</v>
      </c>
      <c r="G2" s="2" t="s">
        <v>11</v>
      </c>
    </row>
    <row r="3">
      <c r="A3" s="2" t="s">
        <v>12</v>
      </c>
      <c r="B3" s="3">
        <v>44429.416666666664</v>
      </c>
      <c r="C3" s="3">
        <v>44429.625</v>
      </c>
      <c r="D3" s="2" t="s">
        <v>13</v>
      </c>
      <c r="E3" s="2" t="s">
        <v>14</v>
      </c>
      <c r="F3" s="4" t="b">
        <f t="shared" ref="F3:F28" si="1">IF(OR(B3="", C3=""), "",
   IFERROR(INT(B3)=INT(C3), "")
)</f>
        <v>1</v>
      </c>
      <c r="G3" s="4" t="b">
        <f t="shared" ref="G3:G30" si="2">IF(OR(B3="", C3=""), "",
   IFERROR(AND(INT(B3)=INT(C3), HOUR(B3)=HOUR(C3)), "")
)</f>
        <v>0</v>
      </c>
    </row>
    <row r="4">
      <c r="A4" s="2" t="s">
        <v>15</v>
      </c>
      <c r="B4" s="3">
        <v>44429.416666666664</v>
      </c>
      <c r="C4" s="3">
        <v>44429.416666666664</v>
      </c>
      <c r="D4" s="2" t="s">
        <v>13</v>
      </c>
      <c r="E4" s="2" t="s">
        <v>16</v>
      </c>
      <c r="F4" s="4" t="b">
        <f t="shared" si="1"/>
        <v>1</v>
      </c>
      <c r="G4" s="4" t="b">
        <f t="shared" si="2"/>
        <v>1</v>
      </c>
    </row>
    <row r="5">
      <c r="F5" s="4" t="str">
        <f t="shared" si="1"/>
        <v/>
      </c>
      <c r="G5" s="4" t="str">
        <f t="shared" si="2"/>
        <v/>
      </c>
    </row>
    <row r="6">
      <c r="F6" s="4" t="str">
        <f t="shared" si="1"/>
        <v/>
      </c>
      <c r="G6" s="4" t="str">
        <f t="shared" si="2"/>
        <v/>
      </c>
    </row>
    <row r="7">
      <c r="F7" s="4" t="str">
        <f t="shared" si="1"/>
        <v/>
      </c>
      <c r="G7" s="4" t="str">
        <f t="shared" si="2"/>
        <v/>
      </c>
    </row>
    <row r="8">
      <c r="F8" s="4" t="str">
        <f t="shared" si="1"/>
        <v/>
      </c>
      <c r="G8" s="4" t="str">
        <f t="shared" si="2"/>
        <v/>
      </c>
    </row>
    <row r="9">
      <c r="F9" s="4" t="str">
        <f t="shared" si="1"/>
        <v/>
      </c>
      <c r="G9" s="4" t="str">
        <f t="shared" si="2"/>
        <v/>
      </c>
    </row>
    <row r="10">
      <c r="F10" s="4" t="str">
        <f t="shared" si="1"/>
        <v/>
      </c>
      <c r="G10" s="4" t="str">
        <f t="shared" si="2"/>
        <v/>
      </c>
    </row>
    <row r="11">
      <c r="F11" s="4" t="str">
        <f t="shared" si="1"/>
        <v/>
      </c>
      <c r="G11" s="4" t="str">
        <f t="shared" si="2"/>
        <v/>
      </c>
    </row>
    <row r="12">
      <c r="F12" s="4" t="str">
        <f t="shared" si="1"/>
        <v/>
      </c>
      <c r="G12" s="4" t="str">
        <f t="shared" si="2"/>
        <v/>
      </c>
    </row>
    <row r="13">
      <c r="F13" s="4" t="str">
        <f t="shared" si="1"/>
        <v/>
      </c>
      <c r="G13" s="4" t="str">
        <f t="shared" si="2"/>
        <v/>
      </c>
    </row>
    <row r="14">
      <c r="F14" s="4" t="str">
        <f t="shared" si="1"/>
        <v/>
      </c>
      <c r="G14" s="4" t="str">
        <f t="shared" si="2"/>
        <v/>
      </c>
    </row>
    <row r="15">
      <c r="F15" s="4" t="str">
        <f t="shared" si="1"/>
        <v/>
      </c>
      <c r="G15" s="4" t="str">
        <f t="shared" si="2"/>
        <v/>
      </c>
    </row>
    <row r="16">
      <c r="F16" s="4" t="str">
        <f t="shared" si="1"/>
        <v/>
      </c>
      <c r="G16" s="4" t="str">
        <f t="shared" si="2"/>
        <v/>
      </c>
    </row>
    <row r="17">
      <c r="F17" s="4" t="str">
        <f t="shared" si="1"/>
        <v/>
      </c>
      <c r="G17" s="4" t="str">
        <f t="shared" si="2"/>
        <v/>
      </c>
    </row>
    <row r="18">
      <c r="F18" s="4" t="str">
        <f t="shared" si="1"/>
        <v/>
      </c>
      <c r="G18" s="4" t="str">
        <f t="shared" si="2"/>
        <v/>
      </c>
    </row>
    <row r="19">
      <c r="F19" s="4" t="str">
        <f t="shared" si="1"/>
        <v/>
      </c>
      <c r="G19" s="4" t="str">
        <f t="shared" si="2"/>
        <v/>
      </c>
    </row>
    <row r="20">
      <c r="F20" s="4" t="str">
        <f t="shared" si="1"/>
        <v/>
      </c>
      <c r="G20" s="4" t="str">
        <f t="shared" si="2"/>
        <v/>
      </c>
    </row>
    <row r="21">
      <c r="F21" s="4" t="str">
        <f t="shared" si="1"/>
        <v/>
      </c>
      <c r="G21" s="4" t="str">
        <f t="shared" si="2"/>
        <v/>
      </c>
    </row>
    <row r="22">
      <c r="F22" s="4" t="str">
        <f t="shared" si="1"/>
        <v/>
      </c>
      <c r="G22" s="4" t="str">
        <f t="shared" si="2"/>
        <v/>
      </c>
    </row>
    <row r="23">
      <c r="F23" s="4" t="str">
        <f t="shared" si="1"/>
        <v/>
      </c>
      <c r="G23" s="4" t="str">
        <f t="shared" si="2"/>
        <v/>
      </c>
    </row>
    <row r="24">
      <c r="F24" s="4" t="str">
        <f t="shared" si="1"/>
        <v/>
      </c>
      <c r="G24" s="4" t="str">
        <f t="shared" si="2"/>
        <v/>
      </c>
    </row>
    <row r="25">
      <c r="F25" s="4" t="str">
        <f t="shared" si="1"/>
        <v/>
      </c>
      <c r="G25" s="4" t="str">
        <f t="shared" si="2"/>
        <v/>
      </c>
    </row>
    <row r="26">
      <c r="F26" s="4" t="str">
        <f t="shared" si="1"/>
        <v/>
      </c>
      <c r="G26" s="4" t="str">
        <f t="shared" si="2"/>
        <v/>
      </c>
    </row>
    <row r="27">
      <c r="F27" s="4" t="str">
        <f t="shared" si="1"/>
        <v/>
      </c>
      <c r="G27" s="4" t="str">
        <f t="shared" si="2"/>
        <v/>
      </c>
    </row>
    <row r="28">
      <c r="F28" s="4" t="str">
        <f t="shared" si="1"/>
        <v/>
      </c>
      <c r="G28" s="4" t="str">
        <f t="shared" si="2"/>
        <v/>
      </c>
    </row>
    <row r="29">
      <c r="G29" s="4" t="str">
        <f t="shared" si="2"/>
        <v/>
      </c>
    </row>
    <row r="30">
      <c r="G30" s="4" t="str">
        <f t="shared" si="2"/>
        <v/>
      </c>
    </row>
  </sheetData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</row>
    <row r="2">
      <c r="A2" s="2" t="s">
        <v>9</v>
      </c>
      <c r="B2" s="2" t="s">
        <v>17</v>
      </c>
      <c r="C2" s="2" t="s">
        <v>18</v>
      </c>
      <c r="D2" s="2" t="s">
        <v>19</v>
      </c>
    </row>
    <row r="3">
      <c r="A3" s="2" t="s">
        <v>14</v>
      </c>
      <c r="B3" s="5">
        <v>44429.541666666664</v>
      </c>
      <c r="C3" s="2">
        <v>4.0</v>
      </c>
      <c r="D3" s="4" t="str">
        <f t="array" ref="D3">IF(A3="","",
   IFERROR(
      TEXT(INDEX(ticket!B:B, MATCH(TRIM(A3), ticket!E:E, 0)), "yyyy-mm-dd hh:mm:ss"),
   "")
)</f>
        <v>2021-08-21 10:00:00</v>
      </c>
    </row>
    <row r="4">
      <c r="A4" s="2" t="s">
        <v>16</v>
      </c>
      <c r="B4" s="5">
        <v>44429.5</v>
      </c>
      <c r="C4" s="2">
        <v>5.0</v>
      </c>
      <c r="D4" s="4" t="str">
        <f t="array" ref="D4">IF(A4="","",
   IFERROR(
      TEXT(INDEX(ticket!B:B, MATCH(TRIM(A4), ticket!E:E, 0)), "yyyy-mm-dd hh:mm:ss"),
   "")
)</f>
        <v>2021-08-21 10:00:00</v>
      </c>
    </row>
    <row r="5">
      <c r="D5" s="4" t="str">
        <f t="array" ref="D5">IF(A5="","",
   IFERROR(
      TEXT(INDEX(ticket!B:B, MATCH(TRIM(A5), ticket!E:E, 0)), "yyyy-mm-dd hh:mm:ss"),
   "")
)</f>
        <v/>
      </c>
    </row>
    <row r="6">
      <c r="D6" s="4" t="str">
        <f t="array" ref="D6">IF(A6="","",
   IFERROR(
      TEXT(INDEX(ticket!B:B, MATCH(TRIM(A6), ticket!E:E, 0)), "yyyy-mm-dd hh:mm:ss"),
   "")
)</f>
        <v/>
      </c>
    </row>
    <row r="7">
      <c r="D7" s="4" t="str">
        <f t="array" ref="D7">IF(A7="","",
   IFERROR(
      TEXT(INDEX(ticket!B:B, MATCH(TRIM(A7), ticket!E:E, 0)), "yyyy-mm-dd hh:mm:ss"),
   "")
)</f>
        <v/>
      </c>
    </row>
    <row r="8">
      <c r="D8" s="4" t="str">
        <f t="array" ref="D8">IF(A8="","",
   IFERROR(
      TEXT(INDEX(ticket!B:B, MATCH(TRIM(A8), ticket!E:E, 0)), "yyyy-mm-dd hh:mm:ss"),
   "")
)</f>
        <v/>
      </c>
    </row>
    <row r="9">
      <c r="D9" s="4" t="str">
        <f t="array" ref="D9">IF(A9="","",
   IFERROR(
      TEXT(INDEX(ticket!B:B, MATCH(TRIM(A9), ticket!E:E, 0)), "yyyy-mm-dd hh:mm:ss"),
   "")
)</f>
        <v/>
      </c>
    </row>
    <row r="10">
      <c r="D10" s="4" t="str">
        <f t="array" ref="D10">IF(A10="","",
   IFERROR(
      TEXT(INDEX(ticket!B:B, MATCH(TRIM(A10), ticket!E:E, 0)), "yyyy-mm-dd hh:mm:ss"),
   "")
)</f>
        <v/>
      </c>
    </row>
    <row r="11">
      <c r="D11" s="4" t="str">
        <f t="array" ref="D11">IF(A11="","",
   IFERROR(
      TEXT(INDEX(ticket!B:B, MATCH(TRIM(A11), ticket!E:E, 0)), "yyyy-mm-dd hh:mm:ss"),
   "")
)</f>
        <v/>
      </c>
    </row>
    <row r="12">
      <c r="D12" s="4" t="str">
        <f t="array" ref="D12">IF(A12="","",
   IFERROR(
      TEXT(INDEX(ticket!B:B, MATCH(TRIM(A12), ticket!E:E, 0)), "yyyy-mm-dd hh:mm:ss"),
   "")
)</f>
        <v/>
      </c>
    </row>
    <row r="13">
      <c r="D13" s="4" t="str">
        <f t="array" ref="D13">IF(A13="","",
   IFERROR(
      TEXT(INDEX(ticket!B:B, MATCH(TRIM(A13), ticket!E:E, 0)), "yyyy-mm-dd hh:mm:ss"),
   "")
)</f>
        <v/>
      </c>
    </row>
    <row r="14">
      <c r="D14" s="4" t="str">
        <f t="array" ref="D14">IF(A14="","",
   IFERROR(
      TEXT(INDEX(ticket!B:B, MATCH(TRIM(A14), ticket!E:E, 0)), "yyyy-mm-dd hh:mm:ss"),
   "")
)</f>
        <v/>
      </c>
    </row>
    <row r="15">
      <c r="D15" s="4" t="str">
        <f t="array" ref="D15">IF(A15="","",
   IFERROR(
      TEXT(INDEX(ticket!B:B, MATCH(TRIM(A15), ticket!E:E, 0)), "yyyy-mm-dd hh:mm:ss"),
   "")
)</f>
        <v/>
      </c>
    </row>
    <row r="16">
      <c r="D16" s="4" t="str">
        <f t="array" ref="D16">IF(A16="","",
   IFERROR(
      TEXT(INDEX(ticket!B:B, MATCH(TRIM(A16), ticket!E:E, 0)), "yyyy-mm-dd hh:mm:ss"),
   "")
)</f>
        <v/>
      </c>
    </row>
    <row r="17">
      <c r="D17" s="4" t="str">
        <f t="array" ref="D17">IF(A17="","",
   IFERROR(
      TEXT(INDEX(ticket!B:B, MATCH(TRIM(A17), ticket!E:E, 0)), "yyyy-mm-dd hh:mm:ss"),
   "")
)</f>
        <v/>
      </c>
    </row>
    <row r="18">
      <c r="D18" s="4" t="str">
        <f t="array" ref="D18">IF(A18="","",
   IFERROR(
      TEXT(INDEX(ticket!B:B, MATCH(TRIM(A18), ticket!E:E, 0)), "yyyy-mm-dd hh:mm:ss"),
   "")
)</f>
        <v/>
      </c>
    </row>
    <row r="19">
      <c r="D19" s="4" t="str">
        <f t="array" ref="D19">IF(A19="","",
   IFERROR(
      TEXT(INDEX(ticket!B:B, MATCH(TRIM(A19), ticket!E:E, 0)), "yyyy-mm-dd hh:mm:ss"),
   "")
)</f>
        <v/>
      </c>
    </row>
    <row r="20">
      <c r="D20" s="4" t="str">
        <f t="array" ref="D20">IF(A20="","",
   IFERROR(
      TEXT(INDEX(ticket!B:B, MATCH(TRIM(A20), ticket!E:E, 0)), "yyyy-mm-dd hh:mm:ss"),
   "")
)</f>
        <v/>
      </c>
    </row>
    <row r="21">
      <c r="D21" s="4" t="str">
        <f t="array" ref="D21">IF(A21="","",
   IFERROR(
      TEXT(INDEX(ticket!B:B, MATCH(TRIM(A21), ticket!E:E, 0)), "yyyy-mm-dd hh:mm:ss"),
   "")
)</f>
        <v/>
      </c>
    </row>
    <row r="22">
      <c r="D22" s="4" t="str">
        <f t="array" ref="D22">IF(A22="","",
   IFERROR(
      TEXT(INDEX(ticket!B:B, MATCH(TRIM(A22), ticket!E:E, 0)), "yyyy-mm-dd hh:mm:ss"),
   "")
)</f>
        <v/>
      </c>
    </row>
    <row r="23">
      <c r="D23" s="4" t="str">
        <f t="array" ref="D23">IF(A23="","",
   IFERROR(
      INDEX(ticket!B:B, MATCH(TRIM(A23), ticket!E:E, 0)),
   "")
)</f>
        <v/>
      </c>
    </row>
    <row r="24">
      <c r="D24" s="4" t="str">
        <f t="array" ref="D24">IF(A24="","",
   IFERROR(
      INDEX(ticket!B:B, MATCH(TRIM(A24), ticket!E:E, 0)),
   "")
)</f>
        <v/>
      </c>
    </row>
    <row r="25">
      <c r="D25" s="4" t="str">
        <f t="array" ref="D25">IF(A25="","",
   IFERROR(
      INDEX(ticket!B:B, MATCH(TRIM(A25), ticket!E:E, 0)),
   "")
)</f>
        <v/>
      </c>
    </row>
    <row r="26">
      <c r="D26" s="4" t="str">
        <f t="array" ref="D26">IF(A26="","",
   IFERROR(
      INDEX(ticket!B:B, MATCH(TRIM(A26), ticket!E:E, 0)),
   "")
)</f>
        <v/>
      </c>
    </row>
    <row r="27">
      <c r="D27" s="4" t="str">
        <f t="array" ref="D27">IF(A27="","",
   IFERROR(
      INDEX(ticket!B:B, MATCH(TRIM(A27), ticket!E:E, 0)),
   "")
)</f>
        <v/>
      </c>
    </row>
    <row r="28">
      <c r="D28" s="4" t="str">
        <f t="array" ref="D28">IF(A28="","",
   IFERROR(
      INDEX(ticket!B:B, MATCH(TRIM(A28), ticket!E:E, 0)),
   "")
)</f>
        <v/>
      </c>
    </row>
  </sheetData>
  <drawing r:id="rId1"/>
</worksheet>
</file>